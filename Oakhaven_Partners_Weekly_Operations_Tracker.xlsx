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cee98ab6074e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ekly Tracker" sheetId="1" r:id="R9d8f7e111d6247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-mmm-yy"/>
  </x:numFmts>
  <x:fonts count="6">
    <x:font>
      <x:sz val="11"/>
      <x:name val="Carlito"/>
    </x:font>
    <x:font>
      <x:b/>
      <x:sz val="16"/>
      <x:color rgb="FF17324D"/>
      <x:name val="Arial"/>
    </x:font>
    <x:font>
      <x:i/>
      <x:sz val="10"/>
      <x:color rgb="FF5B6570"/>
      <x:name val="Arial"/>
    </x:font>
    <x:font>
      <x:b/>
      <x:sz val="10"/>
      <x:color rgb="FFFFFFFF"/>
      <x:name val="Arial"/>
    </x:font>
    <x:font>
      <x:sz val="10"/>
      <x:color rgb="FF26313B"/>
      <x:name val="Arial"/>
    </x:font>
    <x:font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6F8FA"/>
      </x:patternFill>
    </x:fill>
    <x:fill>
      <x:patternFill patternType="solid">
        <x:fgColor rgb="FFEEF4F7"/>
      </x:patternFill>
    </x:fill>
  </x:fills>
  <x:borders count="12">
    <x:border/>
    <x:border>
      <x:bottom style="thin">
        <x:color rgb="FF8FB3C7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3" fillId="2" borderId="2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3" xfId="0" applyNumberFormat="1" applyFont="1" applyFill="1" applyBorder="1"/>
    <x:xf numFmtId="0" fontId="4" fillId="3" borderId="4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4" fillId="3" borderId="7" xfId="0" applyNumberFormat="1" applyFont="1" applyFill="1" applyBorder="1"/>
    <x:xf numFmtId="0" fontId="4" fillId="3" borderId="8" xfId="0" applyNumberFormat="1" applyFont="1" applyFill="1" applyBorder="1"/>
    <x:xf numFmtId="0" fontId="4" fillId="3" borderId="9" xfId="0" applyNumberFormat="1" applyFont="1" applyFill="1" applyBorder="1"/>
    <x:xf numFmtId="0" fontId="4" fillId="3" borderId="10" xfId="0" applyNumberFormat="1" applyFont="1" applyFill="1" applyBorder="1"/>
    <x:xf numFmtId="0" fontId="4" fillId="3" borderId="3" xfId="0" applyNumberFormat="1" applyFont="1" applyFill="1" applyBorder="1" applyAlignment="1">
      <x:alignment wrapText="1"/>
    </x:xf>
    <x:xf numFmtId="0" fontId="4" fillId="3" borderId="4" xfId="0" applyNumberFormat="1" applyFont="1" applyFill="1" applyBorder="1" applyAlignment="1">
      <x:alignment wrapText="1"/>
    </x:xf>
    <x:xf numFmtId="0" fontId="4" fillId="3" borderId="5" xfId="0" applyNumberFormat="1" applyFont="1" applyFill="1" applyBorder="1" applyAlignment="1">
      <x:alignment wrapText="1"/>
    </x:xf>
    <x:xf numFmtId="0" fontId="4" fillId="3" borderId="6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4" fillId="3" borderId="7" xfId="0" applyNumberFormat="1" applyFont="1" applyFill="1" applyBorder="1" applyAlignment="1">
      <x:alignment wrapText="1"/>
    </x:xf>
    <x:xf numFmtId="0" fontId="4" fillId="3" borderId="8" xfId="0" applyNumberFormat="1" applyFont="1" applyFill="1" applyBorder="1" applyAlignment="1">
      <x:alignment wrapText="1"/>
    </x:xf>
    <x:xf numFmtId="0" fontId="4" fillId="3" borderId="9" xfId="0" applyNumberFormat="1" applyFont="1" applyFill="1" applyBorder="1" applyAlignment="1">
      <x:alignment wrapText="1"/>
    </x:xf>
    <x:xf numFmtId="0" fontId="4" fillId="3" borderId="10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vertical="center" wrapText="1"/>
    </x:xf>
    <x:xf numFmtId="0" fontId="4" fillId="3" borderId="4" xfId="0" applyNumberFormat="1" applyFont="1" applyFill="1" applyBorder="1" applyAlignment="1">
      <x:alignment vertical="center" wrapText="1"/>
    </x:xf>
    <x:xf numFmtId="0" fontId="4" fillId="3" borderId="5" xfId="0" applyNumberFormat="1" applyFont="1" applyFill="1" applyBorder="1" applyAlignment="1">
      <x:alignment vertical="center" wrapText="1"/>
    </x:xf>
    <x:xf numFmtId="0" fontId="4" fillId="3" borderId="6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7" xfId="0" applyNumberFormat="1" applyFont="1" applyFill="1" applyBorder="1" applyAlignment="1">
      <x:alignment vertical="center" wrapText="1"/>
    </x:xf>
    <x:xf numFmtId="0" fontId="4" fillId="3" borderId="8" xfId="0" applyNumberFormat="1" applyFont="1" applyFill="1" applyBorder="1" applyAlignment="1">
      <x:alignment vertical="center" wrapText="1"/>
    </x:xf>
    <x:xf numFmtId="0" fontId="4" fillId="3" borderId="9" xfId="0" applyNumberFormat="1" applyFont="1" applyFill="1" applyBorder="1" applyAlignment="1">
      <x:alignment vertical="center" wrapText="1"/>
    </x:xf>
    <x:xf numFmtId="0" fontId="4" fillId="3" borderId="10" xfId="0" applyNumberFormat="1" applyFont="1" applyFill="1" applyBorder="1" applyAlignment="1">
      <x:alignment vertical="center" wrapText="1"/>
    </x:xf>
    <x:xf numFmtId="0" fontId="3" fillId="2" borderId="11" xfId="0" applyNumberFormat="1" applyFont="1" applyFill="1" applyBorder="1"/>
    <x:xf numFmtId="0" fontId="3" fillId="2" borderId="11" xfId="0" applyNumberFormat="1" applyFont="1" applyFill="1" applyBorder="1" applyAlignment="1">
      <x:alignment wrapText="1"/>
    </x:xf>
    <x:xf numFmtId="0" fontId="3" fillId="2" borderId="11" xfId="0" applyNumberFormat="1" applyFont="1" applyFill="1" applyBorder="1" applyAlignment="1">
      <x:alignment horizontal="center" wrapText="1"/>
    </x:xf>
    <x:xf numFmtId="0" fontId="3" fillId="2" borderId="11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horizontal="center" vertical="center" wrapText="1"/>
    </x:xf>
    <x:xf numFmtId="200" fontId="4" fillId="4" borderId="2" xfId="0" applyNumberFormat="1" applyFont="1" applyFill="1" applyBorder="1" applyAlignment="1">
      <x:alignment horizontal="center" vertical="center" wrapText="1"/>
    </x:xf>
    <x:xf numFmtId="200" fontId="4" fillId="0" borderId="2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</x:cellXfs>
  <x:cellStyles count="1">
    <x:cellStyle name="Normal" xfId="0"/>
  </x:cellStyles>
  <x:dxfs count="4">
    <x:dxf>
      <x:font>
        <x:b/>
        <x:color rgb="FF256029"/>
      </x:font>
      <x:fill>
        <x:patternFill patternType="solid">
          <x:bgColor rgb="FFE7F3E8"/>
        </x:patternFill>
      </x:fill>
    </x:dxf>
    <x:dxf>
      <x:font>
        <x:b/>
        <x:color rgb="FF7A5200"/>
      </x:font>
      <x:fill>
        <x:patternFill patternType="solid">
          <x:bgColor rgb="FFFFF4D6"/>
        </x:patternFill>
      </x:fill>
    </x:dxf>
    <x:dxf>
      <x:font>
        <x:b/>
        <x:color rgb="FF244A73"/>
      </x:font>
      <x:fill>
        <x:patternFill patternType="solid">
          <x:bgColor rgb="FFE8EFF8"/>
        </x:patternFill>
      </x:fill>
    </x:dxf>
    <x:dxf>
      <x:font>
        <x:b/>
        <x:color rgb="FFA61B1B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994b8a57734e41" /><Relationship Type="http://schemas.openxmlformats.org/officeDocument/2006/relationships/theme" Target="/xl/theme/theme1.xml" Id="R4a7e6b544cbc434f" /><Relationship Type="http://schemas.openxmlformats.org/officeDocument/2006/relationships/sharedStrings" Target="/xl/sharedStrings.xml" Id="R42281c3dd58345eb" /><Relationship Type="http://schemas.openxmlformats.org/officeDocument/2006/relationships/worksheet" Target="/xl/worksheets/sheet1.xml" Id="R9d8f7e111d6247f9" /></Relationships>
</file>

<file path=xl/tables/table1.xml><?xml version="1.0" encoding="utf-8"?>
<x:table xmlns:x="http://schemas.openxmlformats.org/spreadsheetml/2006/main" id="1" name="WeeklyTasksTable" displayName="WeeklyTasksTable" ref="A14:I29" headerRowCount="1" totalsRowCount="0" totalsRowShown="0">
  <x:autoFilter ref="A14:I29"/>
  <x:tableColumns count="9">
    <x:tableColumn id="1" name="Task ID"/>
    <x:tableColumn id="2" name="Workstream"/>
    <x:tableColumn id="3" name="Task"/>
    <x:tableColumn id="4" name="Day"/>
    <x:tableColumn id="5" name="Due date"/>
    <x:tableColumn id="6" name="Priority"/>
    <x:tableColumn id="7" name="Status"/>
    <x:tableColumn id="8" name="Follow-up or output"/>
    <x:tableColumn id="9" name="Primary tool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4ca31a428164dc6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>
      <x:pane ySplit="14" topLeftCell="A15" activePane="bottomLeft" state="frozen"/>
    </x:sheetView>
  </x:sheetViews>
  <x:sheetFormatPr defaultRowHeight="15"/>
  <x:cols>
    <x:col min="1" max="1" width="11" hidden="0" customWidth="1"/>
    <x:col min="2" max="2" width="18" hidden="0" customWidth="1"/>
    <x:col min="3" max="3" width="38" hidden="0" customWidth="1"/>
    <x:col min="4" max="4" width="13" hidden="0" customWidth="1"/>
    <x:col min="5" max="5" width="14" hidden="0" customWidth="1"/>
    <x:col min="6" max="6" width="12" hidden="0" customWidth="1"/>
    <x:col min="7" max="7" width="18" hidden="0" customWidth="1"/>
    <x:col min="8" max="8" width="36" hidden="0" customWidth="1"/>
    <x:col min="9" max="9" width="22" hidden="0" customWidth="1"/>
  </x:cols>
  <x:sheetData>
    <x:row r="1">
      <x:c r="A1" s="52"/>
      <x:c r="B1" s="52"/>
      <x:c r="C1" s="52"/>
      <x:c r="D1" s="52"/>
      <x:c r="E1" s="52"/>
      <x:c r="F1" s="52"/>
      <x:c r="G1" s="52"/>
      <x:c r="H1" s="52"/>
      <x:c r="I1" s="52"/>
    </x:row>
    <x:row r="2" ht="25" customHeight="1">
      <x:c r="A2" s="2" t="str">
        <x:v>Weekly Operations and Task Tracker</x:v>
      </x:c>
    </x:row>
    <x:row r="3" ht="19" customHeight="1">
      <x:c r="A3" s="3" t="str">
        <x:v>Oakhaven Partners  |  Representative week  |  January 6 to January 10, 2025</x:v>
      </x:c>
    </x:row>
    <x:row r="4">
      <x:c r="A4" s="4"/>
      <x:c r="B4" s="4"/>
      <x:c r="C4" s="4"/>
      <x:c r="D4" s="4"/>
      <x:c r="E4" s="4"/>
      <x:c r="F4" s="4"/>
      <x:c r="G4" s="4"/>
      <x:c r="H4" s="4"/>
      <x:c r="I4" s="4"/>
    </x:row>
    <x:row r="6" ht="25" customHeight="1">
      <x:c r="A6" s="10" t="str">
        <x:v>Summary</x:v>
      </x:c>
      <x:c r="B6" s="10" t="str">
        <x:v>Value</x:v>
      </x:c>
      <x:c r="D6" s="8" t="str">
        <x:v>Working arrangement</x:v>
      </x:c>
    </x:row>
    <x:row r="7" ht="25" customHeight="1">
      <x:c r="A7" s="11" t="str">
        <x:v>Total tasks</x:v>
      </x:c>
      <x:c r="B7" s="12" t="n">
        <x:f>COUNTA(A15:A29)</x:f>
        <x:v>15</x:v>
      </x:c>
      <x:c r="D7" s="32" t="str">
        <x:v>Standard schedule: Monday to Friday</x:v>
      </x:c>
      <x:c r="E7" s="33"/>
      <x:c r="F7" s="33"/>
      <x:c r="G7" s="33"/>
      <x:c r="H7" s="33"/>
      <x:c r="I7" s="34"/>
    </x:row>
    <x:row r="8" ht="25" customHeight="1">
      <x:c r="A8" s="11" t="str">
        <x:v>Completed</x:v>
      </x:c>
      <x:c r="B8" s="12" t="n">
        <x:f>COUNTIF(G15:G29,"Completed")</x:f>
        <x:v>11</x:v>
      </x:c>
      <x:c r="D8" s="35" t="str">
        <x:v>Weekend work: only when assigned and approved as additional paid work</x:v>
      </x:c>
      <x:c r="E8" s="36"/>
      <x:c r="F8" s="36"/>
      <x:c r="G8" s="36"/>
      <x:c r="H8" s="36"/>
      <x:c r="I8" s="37"/>
    </x:row>
    <x:row r="9" ht="25" customHeight="1">
      <x:c r="A9" s="11" t="str">
        <x:v>In progress</x:v>
      </x:c>
      <x:c r="B9" s="12" t="n">
        <x:f>COUNTIF(G15:G29,"In progress")</x:f>
        <x:v>2</x:v>
      </x:c>
      <x:c r="D9" s="35" t="str">
        <x:v>Portfolio note: This tracker is a recreated, anonymised representation of the workflow used during the contract. It does not contain confidential meetings, contacts, correspondence, or internal records.</x:v>
      </x:c>
      <x:c r="E9" s="36"/>
      <x:c r="F9" s="36"/>
      <x:c r="G9" s="36"/>
      <x:c r="H9" s="36"/>
      <x:c r="I9" s="37"/>
    </x:row>
    <x:row r="10" ht="25" customHeight="1">
      <x:c r="A10" s="11" t="str">
        <x:v>Awaiting review</x:v>
      </x:c>
      <x:c r="B10" s="12" t="n">
        <x:f>COUNTIF(G15:G29,"Awaiting review")</x:f>
        <x:v>2</x:v>
      </x:c>
      <x:c r="D10" s="38"/>
      <x:c r="E10" s="39"/>
      <x:c r="F10" s="39"/>
      <x:c r="G10" s="39"/>
      <x:c r="H10" s="39"/>
      <x:c r="I10" s="40"/>
    </x:row>
    <x:row r="14" ht="30" customHeight="1">
      <x:c r="A14" s="44" t="str">
        <x:v>Task ID</x:v>
      </x:c>
      <x:c r="B14" s="44" t="str">
        <x:v>Workstream</x:v>
      </x:c>
      <x:c r="C14" s="44" t="str">
        <x:v>Task</x:v>
      </x:c>
      <x:c r="D14" s="44" t="str">
        <x:v>Day</x:v>
      </x:c>
      <x:c r="E14" s="44" t="str">
        <x:v>Due date</x:v>
      </x:c>
      <x:c r="F14" s="44" t="str">
        <x:v>Priority</x:v>
      </x:c>
      <x:c r="G14" s="44" t="str">
        <x:v>Status</x:v>
      </x:c>
      <x:c r="H14" s="44" t="str">
        <x:v>Follow-up or output</x:v>
      </x:c>
      <x:c r="I14" s="44" t="str">
        <x:v>Primary tool</x:v>
      </x:c>
    </x:row>
    <x:row r="15" ht="24" hidden="0" customHeight="1">
      <x:c r="A15" s="48" t="str">
        <x:v>VA-001</x:v>
      </x:c>
      <x:c r="B15" s="47" t="str">
        <x:v>Administration</x:v>
      </x:c>
      <x:c r="C15" s="47" t="str">
        <x:v>Review weekly calendar and confirm scheduled meetings</x:v>
      </x:c>
      <x:c r="D15" s="48" t="str">
        <x:v>Monday</x:v>
      </x:c>
      <x:c r="E15" s="50" t="n">
        <x:v>45663.5</x:v>
      </x:c>
      <x:c r="F15" s="48" t="str">
        <x:v>High</x:v>
      </x:c>
      <x:c r="G15" s="48" t="str">
        <x:v>Completed</x:v>
      </x:c>
      <x:c r="H15" s="47" t="str">
        <x:v>Calendar checked and reminders prepared</x:v>
      </x:c>
      <x:c r="I15" s="47" t="str">
        <x:v>Google Calendar</x:v>
      </x:c>
    </x:row>
    <x:row r="16" ht="24" hidden="0" customHeight="1">
      <x:c r="A16" s="49" t="str">
        <x:v>VA-002</x:v>
      </x:c>
      <x:c r="B16" s="46" t="str">
        <x:v>Email</x:v>
      </x:c>
      <x:c r="C16" s="46" t="str">
        <x:v>Review priority messages and organise required follow-ups</x:v>
      </x:c>
      <x:c r="D16" s="49" t="str">
        <x:v>Monday</x:v>
      </x:c>
      <x:c r="E16" s="51" t="n">
        <x:v>45663.5</x:v>
      </x:c>
      <x:c r="F16" s="49" t="str">
        <x:v>High</x:v>
      </x:c>
      <x:c r="G16" s="49" t="str">
        <x:v>Completed</x:v>
      </x:c>
      <x:c r="H16" s="46" t="str">
        <x:v>Follow-up actions added to task list</x:v>
      </x:c>
      <x:c r="I16" s="46" t="str">
        <x:v>Google Docs</x:v>
      </x:c>
    </x:row>
    <x:row r="17" ht="15" hidden="0" customHeight="1">
      <x:c r="A17" s="48" t="str">
        <x:v>VA-003</x:v>
      </x:c>
      <x:c r="B17" s="47" t="str">
        <x:v>Task management</x:v>
      </x:c>
      <x:c r="C17" s="47" t="str">
        <x:v>Update weekly priorities and deadlines</x:v>
      </x:c>
      <x:c r="D17" s="48" t="str">
        <x:v>Monday</x:v>
      </x:c>
      <x:c r="E17" s="50" t="n">
        <x:v>45663.5</x:v>
      </x:c>
      <x:c r="F17" s="48" t="str">
        <x:v>High</x:v>
      </x:c>
      <x:c r="G17" s="48" t="str">
        <x:v>Completed</x:v>
      </x:c>
      <x:c r="H17" s="47" t="str">
        <x:v>Board updated for the week</x:v>
      </x:c>
      <x:c r="I17" s="47" t="str">
        <x:v>Trello</x:v>
      </x:c>
    </x:row>
    <x:row r="18" ht="15" hidden="0" customHeight="1">
      <x:c r="A18" s="49" t="str">
        <x:v>VA-004</x:v>
      </x:c>
      <x:c r="B18" s="46" t="str">
        <x:v>Research</x:v>
      </x:c>
      <x:c r="C18" s="46" t="str">
        <x:v>Research current topics relevant to planned content</x:v>
      </x:c>
      <x:c r="D18" s="49" t="str">
        <x:v>Tuesday</x:v>
      </x:c>
      <x:c r="E18" s="51" t="n">
        <x:v>45664.5</x:v>
      </x:c>
      <x:c r="F18" s="49" t="str">
        <x:v>Medium</x:v>
      </x:c>
      <x:c r="G18" s="49" t="str">
        <x:v>Completed</x:v>
      </x:c>
      <x:c r="H18" s="46" t="str">
        <x:v>Findings organised for content planning</x:v>
      </x:c>
      <x:c r="I18" s="46" t="str">
        <x:v>Google Docs</x:v>
      </x:c>
    </x:row>
    <x:row r="19" ht="15" hidden="0" customHeight="1">
      <x:c r="A19" s="48" t="str">
        <x:v>VA-005</x:v>
      </x:c>
      <x:c r="B19" s="47" t="str">
        <x:v>Brand research</x:v>
      </x:c>
      <x:c r="C19" s="47" t="str">
        <x:v>Review competitor content and positioning</x:v>
      </x:c>
      <x:c r="D19" s="48" t="str">
        <x:v>Tuesday</x:v>
      </x:c>
      <x:c r="E19" s="50" t="n">
        <x:v>45664.5</x:v>
      </x:c>
      <x:c r="F19" s="48" t="str">
        <x:v>High</x:v>
      </x:c>
      <x:c r="G19" s="48" t="str">
        <x:v>In progress</x:v>
      </x:c>
      <x:c r="H19" s="47" t="str">
        <x:v>Comparison notes prepared</x:v>
      </x:c>
      <x:c r="I19" s="47" t="str">
        <x:v>Google Sheets</x:v>
      </x:c>
    </x:row>
    <x:row r="20" ht="15" hidden="0" customHeight="1">
      <x:c r="A20" s="49" t="str">
        <x:v>VA-006</x:v>
      </x:c>
      <x:c r="B20" s="46" t="str">
        <x:v>Content</x:v>
      </x:c>
      <x:c r="C20" s="46" t="str">
        <x:v>Develop content ideas from research findings</x:v>
      </x:c>
      <x:c r="D20" s="49" t="str">
        <x:v>Tuesday</x:v>
      </x:c>
      <x:c r="E20" s="51" t="n">
        <x:v>45664.5</x:v>
      </x:c>
      <x:c r="F20" s="49" t="str">
        <x:v>Medium</x:v>
      </x:c>
      <x:c r="G20" s="49" t="str">
        <x:v>Completed</x:v>
      </x:c>
      <x:c r="H20" s="46" t="str">
        <x:v>Ideas added to content plan</x:v>
      </x:c>
      <x:c r="I20" s="46" t="str">
        <x:v>Google Sheets</x:v>
      </x:c>
    </x:row>
    <x:row r="21" ht="15" hidden="0" customHeight="1">
      <x:c r="A21" s="48" t="str">
        <x:v>VA-007</x:v>
      </x:c>
      <x:c r="B21" s="47" t="str">
        <x:v>Content</x:v>
      </x:c>
      <x:c r="C21" s="47" t="str">
        <x:v>Draft captions for approved social media topics</x:v>
      </x:c>
      <x:c r="D21" s="48" t="str">
        <x:v>Wednesday</x:v>
      </x:c>
      <x:c r="E21" s="50" t="n">
        <x:v>45665.5</x:v>
      </x:c>
      <x:c r="F21" s="48" t="str">
        <x:v>High</x:v>
      </x:c>
      <x:c r="G21" s="48" t="str">
        <x:v>Awaiting review</x:v>
      </x:c>
      <x:c r="H21" s="47" t="str">
        <x:v>Caption drafts submitted</x:v>
      </x:c>
      <x:c r="I21" s="47" t="str">
        <x:v>Google Docs</x:v>
      </x:c>
    </x:row>
    <x:row r="22" ht="15" hidden="0" customHeight="1">
      <x:c r="A22" s="49" t="str">
        <x:v>VA-008</x:v>
      </x:c>
      <x:c r="B22" s="46" t="str">
        <x:v>Design</x:v>
      </x:c>
      <x:c r="C22" s="46" t="str">
        <x:v>Create supporting social media graphics</x:v>
      </x:c>
      <x:c r="D22" s="49" t="str">
        <x:v>Wednesday</x:v>
      </x:c>
      <x:c r="E22" s="51" t="n">
        <x:v>45665.5</x:v>
      </x:c>
      <x:c r="F22" s="49" t="str">
        <x:v>Medium</x:v>
      </x:c>
      <x:c r="G22" s="49" t="str">
        <x:v>In progress</x:v>
      </x:c>
      <x:c r="H22" s="46" t="str">
        <x:v>Draft graphics prepared</x:v>
      </x:c>
      <x:c r="I22" s="46" t="str">
        <x:v>Canva</x:v>
      </x:c>
    </x:row>
    <x:row r="23" ht="15" hidden="0" customHeight="1">
      <x:c r="A23" s="48" t="str">
        <x:v>VA-009</x:v>
      </x:c>
      <x:c r="B23" s="47" t="str">
        <x:v>Video</x:v>
      </x:c>
      <x:c r="C23" s="47" t="str">
        <x:v>Edit short-form company video</x:v>
      </x:c>
      <x:c r="D23" s="48" t="str">
        <x:v>Wednesday</x:v>
      </x:c>
      <x:c r="E23" s="50" t="n">
        <x:v>45665.5</x:v>
      </x:c>
      <x:c r="F23" s="48" t="str">
        <x:v>High</x:v>
      </x:c>
      <x:c r="G23" s="48" t="str">
        <x:v>Awaiting review</x:v>
      </x:c>
      <x:c r="H23" s="47" t="str">
        <x:v>Edited clip submitted</x:v>
      </x:c>
      <x:c r="I23" s="47" t="str">
        <x:v>CapCut</x:v>
      </x:c>
    </x:row>
    <x:row r="24" ht="15" hidden="0" customHeight="1">
      <x:c r="A24" s="49" t="str">
        <x:v>VA-010</x:v>
      </x:c>
      <x:c r="B24" s="46" t="str">
        <x:v>Meetings</x:v>
      </x:c>
      <x:c r="C24" s="46" t="str">
        <x:v>Prepare meeting notes and action list</x:v>
      </x:c>
      <x:c r="D24" s="49" t="str">
        <x:v>Thursday</x:v>
      </x:c>
      <x:c r="E24" s="51" t="n">
        <x:v>45666.5</x:v>
      </x:c>
      <x:c r="F24" s="49" t="str">
        <x:v>High</x:v>
      </x:c>
      <x:c r="G24" s="49" t="str">
        <x:v>Completed</x:v>
      </x:c>
      <x:c r="H24" s="46" t="str">
        <x:v>Actions recorded and assigned</x:v>
      </x:c>
      <x:c r="I24" s="46" t="str">
        <x:v>Google Docs</x:v>
      </x:c>
    </x:row>
    <x:row r="25" ht="15" hidden="0" customHeight="1">
      <x:c r="A25" s="48" t="str">
        <x:v>VA-011</x:v>
      </x:c>
      <x:c r="B25" s="47" t="str">
        <x:v>Social media</x:v>
      </x:c>
      <x:c r="C25" s="47" t="str">
        <x:v>Schedule approved Instagram content</x:v>
      </x:c>
      <x:c r="D25" s="48" t="str">
        <x:v>Thursday</x:v>
      </x:c>
      <x:c r="E25" s="50" t="n">
        <x:v>45666.5</x:v>
      </x:c>
      <x:c r="F25" s="48" t="str">
        <x:v>High</x:v>
      </x:c>
      <x:c r="G25" s="48" t="str">
        <x:v>Completed</x:v>
      </x:c>
      <x:c r="H25" s="47" t="str">
        <x:v>Post scheduled</x:v>
      </x:c>
      <x:c r="I25" s="47" t="str">
        <x:v>Meta Business Suite</x:v>
      </x:c>
    </x:row>
    <x:row r="26" ht="15" hidden="0" customHeight="1">
      <x:c r="A26" s="49" t="str">
        <x:v>VA-012</x:v>
      </x:c>
      <x:c r="B26" s="46" t="str">
        <x:v>Social media</x:v>
      </x:c>
      <x:c r="C26" s="46" t="str">
        <x:v>Publish approved TikTok and YouTube content</x:v>
      </x:c>
      <x:c r="D26" s="49" t="str">
        <x:v>Thursday</x:v>
      </x:c>
      <x:c r="E26" s="51" t="n">
        <x:v>45666.5</x:v>
      </x:c>
      <x:c r="F26" s="49" t="str">
        <x:v>High</x:v>
      </x:c>
      <x:c r="G26" s="49" t="str">
        <x:v>Completed</x:v>
      </x:c>
      <x:c r="H26" s="46" t="str">
        <x:v>Content published</x:v>
      </x:c>
      <x:c r="I26" s="46" t="str">
        <x:v>TikTok and YouTube</x:v>
      </x:c>
    </x:row>
    <x:row r="27" ht="15" hidden="0" customHeight="1">
      <x:c r="A27" s="48" t="str">
        <x:v>VA-013</x:v>
      </x:c>
      <x:c r="B27" s="47" t="str">
        <x:v>Analytics</x:v>
      </x:c>
      <x:c r="C27" s="47" t="str">
        <x:v>Review available content performance</x:v>
      </x:c>
      <x:c r="D27" s="48" t="str">
        <x:v>Friday</x:v>
      </x:c>
      <x:c r="E27" s="50" t="n">
        <x:v>45667.5</x:v>
      </x:c>
      <x:c r="F27" s="48" t="str">
        <x:v>Medium</x:v>
      </x:c>
      <x:c r="G27" s="48" t="str">
        <x:v>Completed</x:v>
      </x:c>
      <x:c r="H27" s="47" t="str">
        <x:v>Performance observations documented</x:v>
      </x:c>
      <x:c r="I27" s="47" t="str">
        <x:v>Meta Business Suite</x:v>
      </x:c>
    </x:row>
    <x:row r="28" ht="15" hidden="0" customHeight="1">
      <x:c r="A28" s="49" t="str">
        <x:v>VA-014</x:v>
      </x:c>
      <x:c r="B28" s="46" t="str">
        <x:v>Files</x:v>
      </x:c>
      <x:c r="C28" s="46" t="str">
        <x:v>Organise completed content and working files</x:v>
      </x:c>
      <x:c r="D28" s="49" t="str">
        <x:v>Friday</x:v>
      </x:c>
      <x:c r="E28" s="51" t="n">
        <x:v>45667.5</x:v>
      </x:c>
      <x:c r="F28" s="49" t="str">
        <x:v>Medium</x:v>
      </x:c>
      <x:c r="G28" s="49" t="str">
        <x:v>Completed</x:v>
      </x:c>
      <x:c r="H28" s="46" t="str">
        <x:v>Files stored using agreed structure</x:v>
      </x:c>
      <x:c r="I28" s="46" t="str">
        <x:v>Google Drive</x:v>
      </x:c>
    </x:row>
    <x:row r="29" ht="15" hidden="0" customHeight="1">
      <x:c r="A29" s="48" t="str">
        <x:v>VA-015</x:v>
      </x:c>
      <x:c r="B29" s="47" t="str">
        <x:v>Follow-up</x:v>
      </x:c>
      <x:c r="C29" s="47" t="str">
        <x:v>Review open tasks and prepare next-week priorities</x:v>
      </x:c>
      <x:c r="D29" s="48" t="str">
        <x:v>Friday</x:v>
      </x:c>
      <x:c r="E29" s="50" t="n">
        <x:v>45667.5</x:v>
      </x:c>
      <x:c r="F29" s="48" t="str">
        <x:v>High</x:v>
      </x:c>
      <x:c r="G29" s="48" t="str">
        <x:v>Completed</x:v>
      </x:c>
      <x:c r="H29" s="47" t="str">
        <x:v>Open items carried into next plan</x:v>
      </x:c>
      <x:c r="I29" s="47" t="str">
        <x:v>Trello</x:v>
      </x:c>
    </x:row>
  </x:sheetData>
  <x:mergeCells>
    <x:mergeCell ref="A2:I2"/>
    <x:mergeCell ref="A3:I3"/>
    <x:mergeCell ref="D6:I6"/>
    <x:mergeCell ref="D7:I7"/>
    <x:mergeCell ref="D8:I8"/>
    <x:mergeCell ref="D9:I10"/>
  </x:mergeCells>
  <x:conditionalFormatting sqref="G15:G29">
    <x:cfRule type="containsText" dxfId="0" priority="1" operator="containsText" text="Completed"/>
    <x:cfRule type="containsText" dxfId="1" priority="2" operator="containsText" text="In progress"/>
    <x:cfRule type="containsText" dxfId="2" priority="3" operator="containsText" text="Awaiting review"/>
  </x:conditionalFormatting>
  <x:conditionalFormatting sqref="F15:F29">
    <x:cfRule type="containsText" dxfId="3" priority="4" operator="containsText" text="High"/>
  </x:conditionalFormatting>
  <x:dataValidations count="2">
    <x:dataValidation type="list" sqref="F15:F29">
      <x:formula1>"High,Medium,Low"</x:formula1>
    </x:dataValidation>
    <x:dataValidation type="list" sqref="G15:G29">
      <x:formula1>"Not started,In progress,Awaiting review,Completed"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4ca31a428164dc6"/>
  </x:tableParts>
</x:worksheet>
</file>